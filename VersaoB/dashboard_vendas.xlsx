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ula.pelizer\Documents\bootcamp_totvs_dio\excel_projeto2\"/>
    </mc:Choice>
  </mc:AlternateContent>
  <bookViews>
    <workbookView xWindow="0" yWindow="0" windowWidth="19200" windowHeight="6320" activeTab="2"/>
  </bookViews>
  <sheets>
    <sheet name="tabelasGráficos" sheetId="4" r:id="rId1"/>
    <sheet name="Base" sheetId="1" r:id="rId2"/>
    <sheet name="Dashboard" sheetId="3" r:id="rId3"/>
  </sheets>
  <definedNames>
    <definedName name="SegmentaçãodeDados_Canal_Venda">#N/A</definedName>
    <definedName name="SegmentaçãodeDados_Cliente">#N/A</definedName>
    <definedName name="SegmentaçãodeDados_Segmento">#N/A</definedName>
    <definedName name="SegmentaçãodeDados_Status">#N/A</definedName>
  </definedNames>
  <calcPr calcId="152511" calcMode="manual"/>
  <pivotCaches>
    <pivotCache cacheId="0" r:id="rId4"/>
  </pivotCaches>
  <fileRecoveryPr repairLoad="1"/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C4" i="3" l="1"/>
  <c r="B4" i="3" l="1"/>
  <c r="D4" i="3" l="1"/>
</calcChain>
</file>

<file path=xl/sharedStrings.xml><?xml version="1.0" encoding="utf-8"?>
<sst xmlns="http://schemas.openxmlformats.org/spreadsheetml/2006/main" count="171" uniqueCount="58">
  <si>
    <t>ID_Venda</t>
  </si>
  <si>
    <t>Cliente</t>
  </si>
  <si>
    <t>Segmento</t>
  </si>
  <si>
    <t>Solucao_Servico</t>
  </si>
  <si>
    <t>Qtd</t>
  </si>
  <si>
    <t>Valor_Unitario</t>
  </si>
  <si>
    <t>Canal_Venda</t>
  </si>
  <si>
    <t>Status</t>
  </si>
  <si>
    <t>Faturamento_Total</t>
  </si>
  <si>
    <t>V001</t>
  </si>
  <si>
    <t>Banco Alfa</t>
  </si>
  <si>
    <t>Financeiro</t>
  </si>
  <si>
    <t>Gestão Documental Nuvem</t>
  </si>
  <si>
    <t>Direto</t>
  </si>
  <si>
    <t>Concluído</t>
  </si>
  <si>
    <t>V002</t>
  </si>
  <si>
    <t>Hospital Vida</t>
  </si>
  <si>
    <t>Saúde</t>
  </si>
  <si>
    <t>Digitalização Inteligente</t>
  </si>
  <si>
    <t>Parceiros</t>
  </si>
  <si>
    <t>V003</t>
  </si>
  <si>
    <t>Tech Inova</t>
  </si>
  <si>
    <t>Tecnologia</t>
  </si>
  <si>
    <t>Assinatura Digital Eletrônica</t>
  </si>
  <si>
    <t>Online</t>
  </si>
  <si>
    <t>V004</t>
  </si>
  <si>
    <t>Advocacia Pinheiro</t>
  </si>
  <si>
    <t>Jurídico</t>
  </si>
  <si>
    <t>Outsourcing de Impressão</t>
  </si>
  <si>
    <t>V005</t>
  </si>
  <si>
    <t>Indústria Metal</t>
  </si>
  <si>
    <t>Indústria</t>
  </si>
  <si>
    <t>V006</t>
  </si>
  <si>
    <t>Escola Saber</t>
  </si>
  <si>
    <t>Educação</t>
  </si>
  <si>
    <t>Em Processo</t>
  </si>
  <si>
    <t>V007</t>
  </si>
  <si>
    <t>Clínica São José</t>
  </si>
  <si>
    <t>V008</t>
  </si>
  <si>
    <t>V009</t>
  </si>
  <si>
    <t>Logística Express</t>
  </si>
  <si>
    <t>Logística</t>
  </si>
  <si>
    <t>Contratos_Fechados</t>
  </si>
  <si>
    <t>FATURAMENTO TOTAL</t>
  </si>
  <si>
    <t>TOTAL DE CONTRATOS</t>
  </si>
  <si>
    <t>TICKET MÉDIO</t>
  </si>
  <si>
    <t>Rótulos de Linha</t>
  </si>
  <si>
    <t>Total Geral</t>
  </si>
  <si>
    <t>Soma de Qtd</t>
  </si>
  <si>
    <t>Soma de Valor_Unitario</t>
  </si>
  <si>
    <t>Soma de Faturamento_Total</t>
  </si>
  <si>
    <t>Qtd Vendas</t>
  </si>
  <si>
    <t>Mês</t>
  </si>
  <si>
    <t>Janeiro</t>
  </si>
  <si>
    <t>Fevereiro</t>
  </si>
  <si>
    <t>Março</t>
  </si>
  <si>
    <t>Soma de Contratos_Fechados</t>
  </si>
  <si>
    <t>DASHBOARD DE VENDAS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</si>
</sst>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&quot;R$&quot;\ #,##0.00"/>
    <numFmt numFmtId="165" formatCode="_-* #,##0_-;\-* #,##0_-;_-* &quot;-&quot;??_-;_-@_-"/>
    <numFmt numFmtId="166" formatCode="&quot;R$&quot;\ #,##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34998626667073579"/>
        <bgColor indexed="64"/>
      </patternFill>
    </fill>
  </fills>
  <borders count="4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ashed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0" fontId="3" fillId="5" borderId="1" xfId="1" applyNumberFormat="1" applyFont="1" applyFill="1" applyBorder="1" applyAlignment="1">
      <alignment horizontal="center"/>
    </xf>
    <xf numFmtId="164" fontId="3" fillId="2" borderId="2" xfId="1" applyNumberFormat="1" applyFont="1" applyFill="1" applyBorder="1"/>
    <xf numFmtId="0" fontId="2" fillId="3" borderId="3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0" fillId="0" borderId="0" xfId="0" applyBorder="1"/>
    <xf numFmtId="0" fontId="2" fillId="7" borderId="3" xfId="0" applyFont="1" applyFill="1" applyBorder="1" applyAlignment="1">
      <alignment horizontal="center"/>
    </xf>
    <xf numFmtId="164" fontId="3" fillId="6" borderId="1" xfId="1" applyNumberFormat="1" applyFont="1" applyFill="1" applyBorder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  <xf numFmtId="17" fontId="0" fillId="0" borderId="0" xfId="0" applyNumberFormat="1"/>
    <xf numFmtId="1" fontId="0" fillId="0" borderId="0" xfId="0" applyNumberFormat="1"/>
    <xf numFmtId="165" fontId="0" fillId="0" borderId="0" xfId="0" applyNumberFormat="1"/>
    <xf numFmtId="1" fontId="0" fillId="0" borderId="0" xfId="0" applyNumberFormat="1" applyAlignment="1">
      <alignment horizontal="left"/>
    </xf>
    <xf numFmtId="166" fontId="0" fillId="0" borderId="0" xfId="0" applyNumberFormat="1"/>
    <xf numFmtId="0" fontId="0" fillId="0" borderId="0" xfId="0" applyAlignment="1">
      <alignment horizontal="left" indent="3"/>
    </xf>
    <xf numFmtId="0" fontId="0" fillId="0" borderId="0" xfId="0" applyAlignment="1">
      <alignment horizontal="left" indent="4"/>
    </xf>
    <xf numFmtId="0" fontId="0" fillId="0" borderId="0" xfId="0" applyAlignment="1">
      <alignment horizontal="left" indent="5"/>
    </xf>
    <xf numFmtId="0" fontId="0" fillId="0" borderId="0" xfId="0" applyAlignment="1">
      <alignment horizontal="left" indent="6"/>
    </xf>
    <xf numFmtId="0" fontId="4" fillId="8" borderId="0" xfId="0" applyFont="1" applyFill="1" applyAlignment="1">
      <alignment horizontal="center" vertical="center"/>
    </xf>
  </cellXfs>
  <cellStyles count="2">
    <cellStyle name="Normal" xfId="0" builtinId="0"/>
    <cellStyle name="Vírgula" xfId="1" builtinId="3"/>
  </cellStyles>
  <dxfs count="40"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22" formatCode="mmm/yy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166" formatCode="&quot;R$&quot;\ #,##0"/>
    </dxf>
    <dxf>
      <numFmt numFmtId="166" formatCode="&quot;R$&quot;\ #,##0"/>
    </dxf>
    <dxf>
      <numFmt numFmtId="165" formatCode="_-* #,##0_-;\-* #,##0_-;_-* &quot;-&quot;??_-;_-@_-"/>
    </dxf>
    <dxf>
      <numFmt numFmtId="165" formatCode="_-* #,##0_-;\-* #,##0_-;_-* &quot;-&quot;??_-;_-@_-"/>
    </dxf>
    <dxf>
      <numFmt numFmtId="22" formatCode="mmm/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4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aredStrings" Target="sharedStrings.xml"/><Relationship Id="rId5" Type="http://schemas.microsoft.com/office/2007/relationships/slicerCache" Target="slicerCaches/slicerCache1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[dashboard_vendas.xlsx]tabelasGráficos!Tabela dinâmica3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baseline="0"/>
              <a:t>Evolução das vendas ao longo dos meses</a:t>
            </a:r>
            <a:endParaRPr lang="en-US" sz="1200" b="1"/>
          </a:p>
        </c:rich>
      </c:tx>
      <c:layout>
        <c:manualLayout>
          <c:xMode val="edge"/>
          <c:yMode val="edge"/>
          <c:x val="0.19016955845121128"/>
          <c:y val="8.0645161290322578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</c:pivotFmt>
      <c:pivotFmt>
        <c:idx val="2"/>
        <c:spPr>
          <a:ln w="28575" cap="rnd">
            <a:solidFill>
              <a:schemeClr val="bg1">
                <a:lumMod val="65000"/>
              </a:schemeClr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tabelasGráficos!$B$15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bg1">
                  <a:lumMod val="65000"/>
                </a:schemeClr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tabelasGráficos!$A$16:$A$18</c:f>
              <c:strCache>
                <c:ptCount val="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</c:strCache>
            </c:strRef>
          </c:cat>
          <c:val>
            <c:numRef>
              <c:f>tabelasGráficos!$B$16:$B$18</c:f>
              <c:numCache>
                <c:formatCode>_-* #,##0_-;\-* #,##0_-;_-* "-"??_-;_-@_-</c:formatCode>
                <c:ptCount val="3"/>
                <c:pt idx="0">
                  <c:v>12256</c:v>
                </c:pt>
                <c:pt idx="1">
                  <c:v>45001</c:v>
                </c:pt>
                <c:pt idx="2">
                  <c:v>514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-1253902992"/>
        <c:axId val="-1253902448"/>
      </c:lineChart>
      <c:catAx>
        <c:axId val="-1253902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53902448"/>
        <c:crosses val="autoZero"/>
        <c:auto val="1"/>
        <c:lblAlgn val="ctr"/>
        <c:lblOffset val="100"/>
        <c:noMultiLvlLbl val="0"/>
      </c:catAx>
      <c:valAx>
        <c:axId val="-1253902448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crossAx val="-1253902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[dashboard_vendas.xlsx]tabelasGráficos!Tabela dinâmica4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pt-BR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 sz="12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rPr>
              <a:t>Faturamento por tipo de Solução de Documentos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pt-BR" sz="12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66666666666666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88"/>
              <c:y val="-8.92122703043736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9444444444444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9444444444444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88"/>
              <c:y val="-8.92122703043736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66666666666666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2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3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944444444444445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4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88"/>
              <c:y val="-8.921227030437367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5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166666666666666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6"/>
        <c:spPr>
          <a:solidFill>
            <a:schemeClr val="bg1">
              <a:lumMod val="65000"/>
            </a:schemeClr>
          </a:solidFill>
          <a:ln>
            <a:noFill/>
          </a:ln>
          <a:effectLst/>
        </c:spPr>
        <c:dLbl>
          <c:idx val="0"/>
          <c:layout>
            <c:manualLayout>
              <c:x val="-0.12777777777777777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tabelasGráficos!$B$20</c:f>
              <c:strCache>
                <c:ptCount val="1"/>
                <c:pt idx="0">
                  <c:v>Soma de Faturamento_Total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</c:dPt>
          <c:dLbls>
            <c:dLbl>
              <c:idx val="0"/>
              <c:layout>
                <c:manualLayout>
                  <c:x val="-0.11944444444444445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2777777777777788"/>
                  <c:y val="-8.921227030437367E-17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1166666666666666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12777777777777777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tabelasGráficos!$A$21:$A$24</c:f>
              <c:strCache>
                <c:ptCount val="4"/>
                <c:pt idx="0">
                  <c:v>Assinatura Digital Eletrônica</c:v>
                </c:pt>
                <c:pt idx="1">
                  <c:v>Digitalização Inteligente</c:v>
                </c:pt>
                <c:pt idx="2">
                  <c:v>Gestão Documental Nuvem</c:v>
                </c:pt>
                <c:pt idx="3">
                  <c:v>Outsourcing de Impressão</c:v>
                </c:pt>
              </c:strCache>
            </c:strRef>
          </c:cat>
          <c:val>
            <c:numRef>
              <c:f>tabelasGráficos!$B$21:$B$24</c:f>
              <c:numCache>
                <c:formatCode>"R$"\ #,##0</c:formatCode>
                <c:ptCount val="4"/>
                <c:pt idx="0">
                  <c:v>8000</c:v>
                </c:pt>
                <c:pt idx="1">
                  <c:v>16800</c:v>
                </c:pt>
                <c:pt idx="2">
                  <c:v>17900</c:v>
                </c:pt>
                <c:pt idx="3">
                  <c:v>15050</c:v>
                </c:pt>
              </c:numCache>
            </c:numRef>
          </c:val>
        </c:ser>
        <c:ser>
          <c:idx val="1"/>
          <c:order val="1"/>
          <c:tx>
            <c:strRef>
              <c:f>tabelasGráficos!$C$20</c:f>
              <c:strCache>
                <c:ptCount val="1"/>
                <c:pt idx="0">
                  <c:v>Soma de Contratos_Fechados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tabelasGráficos!$A$21:$A$24</c:f>
              <c:strCache>
                <c:ptCount val="4"/>
                <c:pt idx="0">
                  <c:v>Assinatura Digital Eletrônica</c:v>
                </c:pt>
                <c:pt idx="1">
                  <c:v>Digitalização Inteligente</c:v>
                </c:pt>
                <c:pt idx="2">
                  <c:v>Gestão Documental Nuvem</c:v>
                </c:pt>
                <c:pt idx="3">
                  <c:v>Outsourcing de Impressão</c:v>
                </c:pt>
              </c:strCache>
            </c:strRef>
          </c:cat>
          <c:val>
            <c:numRef>
              <c:f>tabelasGráficos!$C$21:$C$24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77"/>
        <c:axId val="-1253901904"/>
        <c:axId val="-1253895920"/>
      </c:barChart>
      <c:catAx>
        <c:axId val="-12539019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-1253895920"/>
        <c:crosses val="autoZero"/>
        <c:auto val="1"/>
        <c:lblAlgn val="ctr"/>
        <c:lblOffset val="100"/>
        <c:noMultiLvlLbl val="0"/>
      </c:catAx>
      <c:valAx>
        <c:axId val="-1253895920"/>
        <c:scaling>
          <c:orientation val="minMax"/>
        </c:scaling>
        <c:delete val="1"/>
        <c:axPos val="b"/>
        <c:numFmt formatCode="&quot;R$&quot;\ #,##0" sourceLinked="1"/>
        <c:majorTickMark val="none"/>
        <c:minorTickMark val="none"/>
        <c:tickLblPos val="nextTo"/>
        <c:crossAx val="-12539019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1530350</xdr:colOff>
      <xdr:row>4</xdr:row>
      <xdr:rowOff>101600</xdr:rowOff>
    </xdr:from>
    <xdr:to>
      <xdr:col>4</xdr:col>
      <xdr:colOff>19050</xdr:colOff>
      <xdr:row>13</xdr:row>
      <xdr:rowOff>19050</xdr:rowOff>
    </xdr:to>
    <xdr:graphicFrame macro="">
      <xdr:nvGraphicFramePr>
        <xdr:cNvPr id="2" name="Gráfico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1416050</xdr:colOff>
      <xdr:row>13</xdr:row>
      <xdr:rowOff>95250</xdr:rowOff>
    </xdr:from>
    <xdr:to>
      <xdr:col>4</xdr:col>
      <xdr:colOff>12700</xdr:colOff>
      <xdr:row>20</xdr:row>
      <xdr:rowOff>111125</xdr:rowOff>
    </xdr:to>
    <xdr:graphicFrame macro="">
      <xdr:nvGraphicFramePr>
        <xdr:cNvPr id="3" name="Gráfico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</xdr:row>
      <xdr:rowOff>6351</xdr:rowOff>
    </xdr:from>
    <xdr:to>
      <xdr:col>0</xdr:col>
      <xdr:colOff>1327150</xdr:colOff>
      <xdr:row>13</xdr:row>
      <xdr:rowOff>127001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Segmento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g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450851"/>
              <a:ext cx="1327150" cy="2298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13</xdr:row>
      <xdr:rowOff>152401</xdr:rowOff>
    </xdr:from>
    <xdr:to>
      <xdr:col>0</xdr:col>
      <xdr:colOff>1327150</xdr:colOff>
      <xdr:row>20</xdr:row>
      <xdr:rowOff>114301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Canal_Venda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al_Vend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774951"/>
              <a:ext cx="1327150" cy="1250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184150</xdr:colOff>
      <xdr:row>1</xdr:row>
      <xdr:rowOff>88900</xdr:rowOff>
    </xdr:from>
    <xdr:to>
      <xdr:col>6</xdr:col>
      <xdr:colOff>603250</xdr:colOff>
      <xdr:row>14</xdr:row>
      <xdr:rowOff>177800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lien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8050" y="393700"/>
              <a:ext cx="1638300" cy="25908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184150</xdr:colOff>
      <xdr:row>15</xdr:row>
      <xdr:rowOff>31749</xdr:rowOff>
    </xdr:from>
    <xdr:to>
      <xdr:col>6</xdr:col>
      <xdr:colOff>584200</xdr:colOff>
      <xdr:row>20</xdr:row>
      <xdr:rowOff>114300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Status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988050" y="3022599"/>
              <a:ext cx="1619250" cy="10033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ula Dantas de Oliveira Pelizer" refreshedDate="46166.883399074075" createdVersion="5" refreshedVersion="5" minRefreshableVersion="3" recordCount="9">
  <cacheSource type="worksheet">
    <worksheetSource ref="A1:K10" sheet="Base"/>
  </cacheSource>
  <cacheFields count="11">
    <cacheField name="ID_Venda" numFmtId="0">
      <sharedItems count="9">
        <s v="V001"/>
        <s v="V002"/>
        <s v="V003"/>
        <s v="V004"/>
        <s v="V005"/>
        <s v="V006"/>
        <s v="V007"/>
        <s v="V008"/>
        <s v="V009"/>
      </sharedItems>
    </cacheField>
    <cacheField name="Mês" numFmtId="1">
      <sharedItems count="3">
        <s v="Janeiro"/>
        <s v="Fevereiro"/>
        <s v="Março"/>
      </sharedItems>
    </cacheField>
    <cacheField name="Cliente" numFmtId="0">
      <sharedItems count="8">
        <s v="Banco Alfa"/>
        <s v="Hospital Vida"/>
        <s v="Tech Inova"/>
        <s v="Advocacia Pinheiro"/>
        <s v="Indústria Metal"/>
        <s v="Escola Saber"/>
        <s v="Clínica São José"/>
        <s v="Logística Express"/>
      </sharedItems>
    </cacheField>
    <cacheField name="Segmento" numFmtId="0">
      <sharedItems count="7">
        <s v="Financeiro"/>
        <s v="Saúde"/>
        <s v="Tecnologia"/>
        <s v="Jurídico"/>
        <s v="Indústria"/>
        <s v="Educação"/>
        <s v="Logística"/>
      </sharedItems>
    </cacheField>
    <cacheField name="Solucao_Servico" numFmtId="0">
      <sharedItems count="4">
        <s v="Gestão Documental Nuvem"/>
        <s v="Digitalização Inteligente"/>
        <s v="Assinatura Digital Eletrônica"/>
        <s v="Outsourcing de Impressão"/>
      </sharedItems>
    </cacheField>
    <cacheField name="Qtd" numFmtId="1">
      <sharedItems containsSemiMixedTypes="0" containsString="0" containsNumber="1" containsInteger="1" minValue="1" maxValue="45000"/>
    </cacheField>
    <cacheField name="Valor_Unitario" numFmtId="0">
      <sharedItems containsSemiMixedTypes="0" containsString="0" containsNumber="1" minValue="0.28000000000000003" maxValue="5100"/>
    </cacheField>
    <cacheField name="Canal_Venda" numFmtId="0">
      <sharedItems count="3">
        <s v="Direto"/>
        <s v="Parceiros"/>
        <s v="Online"/>
      </sharedItems>
    </cacheField>
    <cacheField name="Status" numFmtId="0">
      <sharedItems count="2">
        <s v="Concluído"/>
        <s v="Em Processo"/>
      </sharedItems>
    </cacheField>
    <cacheField name="Faturamento_Total" numFmtId="0">
      <sharedItems containsSemiMixedTypes="0" containsString="0" containsNumber="1" containsInteger="1" minValue="3000" maxValue="12600"/>
    </cacheField>
    <cacheField name="Contratos_Fechados" numFmtId="0">
      <sharedItems containsSemiMixedTypes="0" containsString="0" containsNumber="1" containsInteger="1" minValue="1" maxValue="1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  <x v="0"/>
    <n v="1"/>
    <n v="4500"/>
    <x v="0"/>
    <x v="0"/>
    <n v="4500"/>
    <n v="1"/>
  </r>
  <r>
    <x v="1"/>
    <x v="0"/>
    <x v="1"/>
    <x v="1"/>
    <x v="1"/>
    <n v="12000"/>
    <n v="0.35"/>
    <x v="1"/>
    <x v="0"/>
    <n v="4200"/>
    <n v="1"/>
  </r>
  <r>
    <x v="2"/>
    <x v="0"/>
    <x v="2"/>
    <x v="2"/>
    <x v="2"/>
    <n v="250"/>
    <n v="12"/>
    <x v="2"/>
    <x v="0"/>
    <n v="3000"/>
    <n v="1"/>
  </r>
  <r>
    <x v="3"/>
    <x v="0"/>
    <x v="3"/>
    <x v="3"/>
    <x v="3"/>
    <n v="5"/>
    <n v="850"/>
    <x v="0"/>
    <x v="0"/>
    <n v="4250"/>
    <n v="1"/>
  </r>
  <r>
    <x v="4"/>
    <x v="1"/>
    <x v="4"/>
    <x v="4"/>
    <x v="1"/>
    <n v="45000"/>
    <n v="0.28000000000000003"/>
    <x v="0"/>
    <x v="0"/>
    <n v="12600"/>
    <n v="1"/>
  </r>
  <r>
    <x v="5"/>
    <x v="1"/>
    <x v="5"/>
    <x v="5"/>
    <x v="0"/>
    <n v="1"/>
    <n v="3200"/>
    <x v="2"/>
    <x v="1"/>
    <n v="3200"/>
    <n v="1"/>
  </r>
  <r>
    <x v="6"/>
    <x v="2"/>
    <x v="6"/>
    <x v="1"/>
    <x v="2"/>
    <n v="500"/>
    <n v="10"/>
    <x v="1"/>
    <x v="0"/>
    <n v="5000"/>
    <n v="1"/>
  </r>
  <r>
    <x v="7"/>
    <x v="2"/>
    <x v="0"/>
    <x v="0"/>
    <x v="3"/>
    <n v="12"/>
    <n v="900"/>
    <x v="0"/>
    <x v="0"/>
    <n v="10800"/>
    <n v="1"/>
  </r>
  <r>
    <x v="8"/>
    <x v="2"/>
    <x v="7"/>
    <x v="6"/>
    <x v="0"/>
    <n v="2"/>
    <n v="5100"/>
    <x v="1"/>
    <x v="0"/>
    <n v="10200"/>
    <n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a dinâmica5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26:E90" firstHeaderRow="0" firstDataRow="1" firstDataCol="1"/>
  <pivotFields count="11"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axis="axisRow" showAll="0">
      <items count="4">
        <item x="0"/>
        <item x="1"/>
        <item x="2"/>
        <item t="default"/>
      </items>
    </pivotField>
    <pivotField axis="axisRow" showAll="0">
      <items count="9">
        <item x="3"/>
        <item x="0"/>
        <item x="6"/>
        <item x="5"/>
        <item x="1"/>
        <item x="4"/>
        <item x="7"/>
        <item x="2"/>
        <item t="default"/>
      </items>
    </pivotField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dataField="1" numFmtId="1" showAll="0"/>
    <pivotField dataField="1" showAll="0"/>
    <pivotField axis="axisRow" showAll="0">
      <items count="4">
        <item x="0"/>
        <item x="2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dataField="1" showAll="0"/>
  </pivotFields>
  <rowFields count="7">
    <field x="0"/>
    <field x="1"/>
    <field x="2"/>
    <field x="3"/>
    <field x="4"/>
    <field x="7"/>
    <field x="8"/>
  </rowFields>
  <rowItems count="64">
    <i>
      <x/>
    </i>
    <i r="1">
      <x/>
    </i>
    <i r="2">
      <x v="1"/>
    </i>
    <i r="3">
      <x v="1"/>
    </i>
    <i r="4">
      <x v="2"/>
    </i>
    <i r="5">
      <x/>
    </i>
    <i r="6">
      <x/>
    </i>
    <i>
      <x v="1"/>
    </i>
    <i r="1">
      <x/>
    </i>
    <i r="2">
      <x v="4"/>
    </i>
    <i r="3">
      <x v="5"/>
    </i>
    <i r="4">
      <x v="1"/>
    </i>
    <i r="5">
      <x v="2"/>
    </i>
    <i r="6">
      <x/>
    </i>
    <i>
      <x v="2"/>
    </i>
    <i r="1">
      <x/>
    </i>
    <i r="2">
      <x v="7"/>
    </i>
    <i r="3">
      <x v="6"/>
    </i>
    <i r="4">
      <x/>
    </i>
    <i r="5">
      <x v="1"/>
    </i>
    <i r="6">
      <x/>
    </i>
    <i>
      <x v="3"/>
    </i>
    <i r="1">
      <x/>
    </i>
    <i r="2">
      <x/>
    </i>
    <i r="3">
      <x v="3"/>
    </i>
    <i r="4">
      <x v="3"/>
    </i>
    <i r="5">
      <x/>
    </i>
    <i r="6">
      <x/>
    </i>
    <i>
      <x v="4"/>
    </i>
    <i r="1">
      <x v="1"/>
    </i>
    <i r="2">
      <x v="5"/>
    </i>
    <i r="3">
      <x v="2"/>
    </i>
    <i r="4">
      <x v="1"/>
    </i>
    <i r="5">
      <x/>
    </i>
    <i r="6">
      <x/>
    </i>
    <i>
      <x v="5"/>
    </i>
    <i r="1">
      <x v="1"/>
    </i>
    <i r="2">
      <x v="3"/>
    </i>
    <i r="3">
      <x/>
    </i>
    <i r="4">
      <x v="2"/>
    </i>
    <i r="5">
      <x v="1"/>
    </i>
    <i r="6">
      <x v="1"/>
    </i>
    <i>
      <x v="6"/>
    </i>
    <i r="1">
      <x v="2"/>
    </i>
    <i r="2">
      <x v="2"/>
    </i>
    <i r="3">
      <x v="5"/>
    </i>
    <i r="4">
      <x/>
    </i>
    <i r="5">
      <x v="2"/>
    </i>
    <i r="6">
      <x/>
    </i>
    <i>
      <x v="7"/>
    </i>
    <i r="1">
      <x v="2"/>
    </i>
    <i r="2">
      <x v="1"/>
    </i>
    <i r="3">
      <x v="1"/>
    </i>
    <i r="4">
      <x v="3"/>
    </i>
    <i r="5">
      <x/>
    </i>
    <i r="6">
      <x/>
    </i>
    <i>
      <x v="8"/>
    </i>
    <i r="1">
      <x v="2"/>
    </i>
    <i r="2">
      <x v="6"/>
    </i>
    <i r="3">
      <x v="4"/>
    </i>
    <i r="4">
      <x v="2"/>
    </i>
    <i r="5">
      <x v="2"/>
    </i>
    <i r="6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oma de Qtd" fld="5" baseField="0" baseItem="0"/>
    <dataField name="Soma de Valor_Unitario" fld="6" baseField="0" baseItem="0"/>
    <dataField name="Soma de Faturamento_Total" fld="9" baseField="0" baseItem="0"/>
    <dataField name="Soma de Contratos_Fechado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ela dinâmica4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 chartFormat="3">
  <location ref="A20:C24" firstHeaderRow="0" firstDataRow="1" firstDataCol="1"/>
  <pivotFields count="11">
    <pivotField showAll="0"/>
    <pivotField showAll="0">
      <items count="4">
        <item x="0"/>
        <item x="1"/>
        <item x="2"/>
        <item t="default"/>
      </items>
    </pivotField>
    <pivotField showAll="0">
      <items count="9">
        <item x="3"/>
        <item x="0"/>
        <item x="6"/>
        <item x="5"/>
        <item x="1"/>
        <item x="4"/>
        <item x="7"/>
        <item x="2"/>
        <item t="default"/>
      </items>
    </pivotField>
    <pivotField showAll="0">
      <items count="8">
        <item x="5"/>
        <item x="0"/>
        <item x="4"/>
        <item x="3"/>
        <item x="6"/>
        <item x="1"/>
        <item x="2"/>
        <item t="default"/>
      </items>
    </pivotField>
    <pivotField axis="axisRow" showAll="0">
      <items count="5">
        <item x="2"/>
        <item x="1"/>
        <item x="0"/>
        <item x="3"/>
        <item t="default"/>
      </items>
    </pivotField>
    <pivotField numFmtId="1"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dataField="1" showAll="0" defaultSubtotal="0"/>
  </pivotFields>
  <rowFields count="1">
    <field x="4"/>
  </rowFields>
  <rowItems count="4">
    <i>
      <x/>
    </i>
    <i>
      <x v="1"/>
    </i>
    <i>
      <x v="2"/>
    </i>
    <i>
      <x v="3"/>
    </i>
  </rowItems>
  <colFields count="1">
    <field x="-2"/>
  </colFields>
  <colItems count="2">
    <i>
      <x/>
    </i>
    <i i="1">
      <x v="1"/>
    </i>
  </colItems>
  <dataFields count="2">
    <dataField name="Soma de Faturamento_Total" fld="9" baseField="0" baseItem="0" numFmtId="166"/>
    <dataField name="Soma de Contratos_Fechados" fld="10" baseField="0" baseItem="0"/>
  </dataFields>
  <formats count="1">
    <format dxfId="36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</formats>
  <chartFormats count="6">
    <chartFormat chart="2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16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1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ela dinâmica3" cacheId="0" applyNumberFormats="0" applyBorderFormats="0" applyFontFormats="0" applyPatternFormats="0" applyAlignmentFormats="0" applyWidthHeightFormats="1" dataCaption="Valores" updatedVersion="5" minRefreshableVersion="3" useAutoFormatting="1" rowGrandTotals="0" colGrandTotals="0" itemPrintTitles="1" createdVersion="5" indent="0" outline="1" outlineData="1" multipleFieldFilters="0" chartFormat="4" rowHeaderCaption="Mês">
  <location ref="A15:B18" firstHeaderRow="1" firstDataRow="1" firstDataCol="1"/>
  <pivotFields count="11">
    <pivotField showAll="0"/>
    <pivotField axis="axisRow" numFmtId="1" showAll="0" defaultSubtotal="0">
      <items count="3">
        <item x="0"/>
        <item x="1"/>
        <item x="2"/>
      </items>
    </pivotField>
    <pivotField showAll="0">
      <items count="9">
        <item x="3"/>
        <item x="0"/>
        <item x="6"/>
        <item x="5"/>
        <item x="1"/>
        <item x="4"/>
        <item x="7"/>
        <item x="2"/>
        <item t="default"/>
      </items>
    </pivotField>
    <pivotField showAll="0">
      <items count="8">
        <item x="5"/>
        <item x="0"/>
        <item x="4"/>
        <item x="3"/>
        <item x="6"/>
        <item x="1"/>
        <item x="2"/>
        <item t="default"/>
      </items>
    </pivotField>
    <pivotField showAll="0"/>
    <pivotField dataField="1" showAll="0"/>
    <pivotField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 defaultSubtotal="0"/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Qtd Vendas" fld="5" baseField="1" baseItem="9" numFmtId="165"/>
  </dataFields>
  <formats count="3">
    <format dxfId="39">
      <pivotArea dataOnly="0" labelOnly="1" grandRow="1" outline="0" fieldPosition="0"/>
    </format>
    <format dxfId="38">
      <pivotArea outline="0" collapsedLevelsAreSubtotals="1" fieldPosition="0"/>
    </format>
    <format dxfId="37">
      <pivotArea dataOnly="0" labelOnly="1" outline="0" axis="axisValues" fieldPosition="0"/>
    </format>
  </format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Tabela dinâmica1" cacheId="0" applyNumberFormats="0" applyBorderFormats="0" applyFontFormats="0" applyPatternFormats="0" applyAlignmentFormats="0" applyWidthHeightFormats="1" dataCaption="Valores" updatedVersion="5" minRefreshableVersion="3" useAutoFormatting="1" itemPrintTitles="1" createdVersion="5" indent="0" outline="1" outlineData="1" multipleFieldFilters="0">
  <location ref="A1:D9" firstHeaderRow="0" firstDataRow="1" firstDataCol="1"/>
  <pivotFields count="11"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" showAll="0" defaultSubtotal="0">
      <items count="3">
        <item x="0"/>
        <item x="1"/>
        <item x="2"/>
      </items>
    </pivotField>
    <pivotField showAll="0">
      <items count="9">
        <item x="3"/>
        <item x="0"/>
        <item x="6"/>
        <item x="5"/>
        <item x="1"/>
        <item x="4"/>
        <item x="7"/>
        <item x="2"/>
        <item t="default"/>
      </items>
    </pivotField>
    <pivotField axis="axisRow" showAll="0">
      <items count="8">
        <item x="5"/>
        <item x="0"/>
        <item x="4"/>
        <item x="3"/>
        <item x="6"/>
        <item x="1"/>
        <item x="2"/>
        <item t="default"/>
      </items>
    </pivotField>
    <pivotField showAll="0"/>
    <pivotField dataField="1" showAll="0"/>
    <pivotField dataField="1" showAll="0"/>
    <pivotField showAll="0">
      <items count="4">
        <item x="0"/>
        <item x="2"/>
        <item x="1"/>
        <item t="default"/>
      </items>
    </pivotField>
    <pivotField showAll="0">
      <items count="3">
        <item x="0"/>
        <item x="1"/>
        <item t="default"/>
      </items>
    </pivotField>
    <pivotField dataField="1" showAll="0"/>
    <pivotField showAll="0" defaultSubtota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a de Qtd" fld="5" baseField="0" baseItem="0"/>
    <dataField name="Soma de Valor_Unitario" fld="6" baseField="0" baseItem="0"/>
    <dataField name="Soma de Faturamento_Total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egmento" sourceName="Segmento">
  <pivotTables>
    <pivotTable tabId="4" name="Tabela dinâmica5"/>
    <pivotTable tabId="4" name="Tabela dinâmica4"/>
    <pivotTable tabId="4" name="Tabela dinâmica1"/>
    <pivotTable tabId="4" name="Tabela dinâmica3"/>
  </pivotTables>
  <data>
    <tabular pivotCacheId="1">
      <items count="7">
        <i x="5" s="1"/>
        <i x="0" s="1"/>
        <i x="4" s="1"/>
        <i x="3" s="1"/>
        <i x="6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anal_Venda" sourceName="Canal_Venda">
  <pivotTables>
    <pivotTable tabId="4" name="Tabela dinâmica5"/>
    <pivotTable tabId="4" name="Tabela dinâmica4"/>
    <pivotTable tabId="4" name="Tabela dinâmica1"/>
    <pivotTable tabId="4" name="Tabela dinâmica3"/>
  </pivotTables>
  <data>
    <tabular pivotCacheId="1">
      <items count="3">
        <i x="0" s="1"/>
        <i x="2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Cliente" sourceName="Cliente">
  <pivotTables>
    <pivotTable tabId="4" name="Tabela dinâmica5"/>
    <pivotTable tabId="4" name="Tabela dinâmica4"/>
    <pivotTable tabId="4" name="Tabela dinâmica1"/>
    <pivotTable tabId="4" name="Tabela dinâmica3"/>
  </pivotTables>
  <data>
    <tabular pivotCacheId="1">
      <items count="8">
        <i x="3" s="1"/>
        <i x="0" s="1"/>
        <i x="6" s="1"/>
        <i x="5" s="1"/>
        <i x="1" s="1"/>
        <i x="4" s="1"/>
        <i x="7" s="1"/>
        <i x="2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egmentaçãodeDados_Status" sourceName="Status">
  <pivotTables>
    <pivotTable tabId="4" name="Tabela dinâmica5"/>
    <pivotTable tabId="4" name="Tabela dinâmica4"/>
    <pivotTable tabId="4" name="Tabela dinâmica1"/>
    <pivotTable tabId="4" name="Tabela dinâmica3"/>
  </pivotTables>
  <data>
    <tabular pivotCacheId="1">
      <items count="2"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Segmento" cache="SegmentaçãodeDados_Segmento" caption="Segmento" style="SlicerStyleOther1" rowHeight="241300"/>
  <slicer name="Canal_Venda" cache="SegmentaçãodeDados_Canal_Venda" caption="Canal_Venda" style="SlicerStyleOther1" rowHeight="241300"/>
  <slicer name="Cliente" cache="SegmentaçãodeDados_Cliente" caption="Cliente" style="SlicerStyleOther1" rowHeight="241300"/>
  <slicer name="Status" cache="SegmentaçãodeDados_Status" caption="Status" style="SlicerStyleOther1" rowHeight="2413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0"/>
  <sheetViews>
    <sheetView topLeftCell="A13" workbookViewId="0">
      <selection activeCell="C32" sqref="C32"/>
    </sheetView>
  </sheetViews>
  <sheetFormatPr defaultRowHeight="14.5" x14ac:dyDescent="0.35"/>
  <cols>
    <col min="1" max="1" width="8.6328125" customWidth="1"/>
    <col min="2" max="2" width="11.90625" customWidth="1"/>
    <col min="3" max="3" width="20.90625" customWidth="1"/>
    <col min="4" max="4" width="25" customWidth="1"/>
    <col min="5" max="5" width="26" customWidth="1"/>
    <col min="6" max="6" width="20.90625" customWidth="1"/>
    <col min="7" max="7" width="25" customWidth="1"/>
    <col min="8" max="8" width="11.6328125" customWidth="1"/>
    <col min="9" max="9" width="20.90625" customWidth="1"/>
    <col min="10" max="10" width="25" customWidth="1"/>
    <col min="11" max="11" width="11.6328125" customWidth="1"/>
    <col min="12" max="12" width="20.90625" customWidth="1"/>
    <col min="13" max="13" width="25" customWidth="1"/>
    <col min="14" max="14" width="11.6328125" customWidth="1"/>
    <col min="15" max="15" width="20.90625" customWidth="1"/>
    <col min="16" max="16" width="25" bestFit="1" customWidth="1"/>
    <col min="17" max="17" width="11.6328125" customWidth="1"/>
    <col min="18" max="18" width="20.90625" customWidth="1"/>
    <col min="19" max="19" width="25" customWidth="1"/>
    <col min="20" max="20" width="11.6328125" customWidth="1"/>
    <col min="21" max="21" width="20.90625" customWidth="1"/>
    <col min="22" max="22" width="25" bestFit="1" customWidth="1"/>
    <col min="23" max="23" width="16.453125" bestFit="1" customWidth="1"/>
    <col min="24" max="24" width="25.81640625" bestFit="1" customWidth="1"/>
    <col min="25" max="25" width="29.90625" bestFit="1" customWidth="1"/>
  </cols>
  <sheetData>
    <row r="1" spans="1:4" x14ac:dyDescent="0.35">
      <c r="A1" s="8" t="s">
        <v>46</v>
      </c>
      <c r="B1" t="s">
        <v>48</v>
      </c>
      <c r="C1" t="s">
        <v>49</v>
      </c>
      <c r="D1" t="s">
        <v>50</v>
      </c>
    </row>
    <row r="2" spans="1:4" x14ac:dyDescent="0.35">
      <c r="A2" s="9" t="s">
        <v>34</v>
      </c>
      <c r="B2" s="12">
        <v>1</v>
      </c>
      <c r="C2" s="12">
        <v>3200</v>
      </c>
      <c r="D2" s="12">
        <v>3200</v>
      </c>
    </row>
    <row r="3" spans="1:4" x14ac:dyDescent="0.35">
      <c r="A3" s="9" t="s">
        <v>11</v>
      </c>
      <c r="B3" s="12">
        <v>13</v>
      </c>
      <c r="C3" s="12">
        <v>5400</v>
      </c>
      <c r="D3" s="12">
        <v>15300</v>
      </c>
    </row>
    <row r="4" spans="1:4" x14ac:dyDescent="0.35">
      <c r="A4" s="9" t="s">
        <v>31</v>
      </c>
      <c r="B4" s="12">
        <v>45000</v>
      </c>
      <c r="C4" s="12">
        <v>0.28000000000000003</v>
      </c>
      <c r="D4" s="12">
        <v>12600</v>
      </c>
    </row>
    <row r="5" spans="1:4" x14ac:dyDescent="0.35">
      <c r="A5" s="9" t="s">
        <v>27</v>
      </c>
      <c r="B5" s="12">
        <v>5</v>
      </c>
      <c r="C5" s="12">
        <v>850</v>
      </c>
      <c r="D5" s="12">
        <v>4250</v>
      </c>
    </row>
    <row r="6" spans="1:4" x14ac:dyDescent="0.35">
      <c r="A6" s="9" t="s">
        <v>41</v>
      </c>
      <c r="B6" s="12">
        <v>2</v>
      </c>
      <c r="C6" s="12">
        <v>5100</v>
      </c>
      <c r="D6" s="12">
        <v>10200</v>
      </c>
    </row>
    <row r="7" spans="1:4" x14ac:dyDescent="0.35">
      <c r="A7" s="9" t="s">
        <v>17</v>
      </c>
      <c r="B7" s="12">
        <v>12500</v>
      </c>
      <c r="C7" s="12">
        <v>10.35</v>
      </c>
      <c r="D7" s="12">
        <v>9200</v>
      </c>
    </row>
    <row r="8" spans="1:4" x14ac:dyDescent="0.35">
      <c r="A8" s="9" t="s">
        <v>22</v>
      </c>
      <c r="B8" s="12">
        <v>250</v>
      </c>
      <c r="C8" s="12">
        <v>12</v>
      </c>
      <c r="D8" s="12">
        <v>3000</v>
      </c>
    </row>
    <row r="9" spans="1:4" x14ac:dyDescent="0.35">
      <c r="A9" s="9" t="s">
        <v>47</v>
      </c>
      <c r="B9" s="12">
        <v>57771</v>
      </c>
      <c r="C9" s="12">
        <v>14572.630000000001</v>
      </c>
      <c r="D9" s="12">
        <v>57750</v>
      </c>
    </row>
    <row r="15" spans="1:4" x14ac:dyDescent="0.35">
      <c r="A15" s="8" t="s">
        <v>52</v>
      </c>
      <c r="B15" s="15" t="s">
        <v>51</v>
      </c>
    </row>
    <row r="16" spans="1:4" x14ac:dyDescent="0.35">
      <c r="A16" s="16" t="s">
        <v>53</v>
      </c>
      <c r="B16" s="15">
        <v>12256</v>
      </c>
    </row>
    <row r="17" spans="1:5" x14ac:dyDescent="0.35">
      <c r="A17" s="16" t="s">
        <v>54</v>
      </c>
      <c r="B17" s="15">
        <v>45001</v>
      </c>
    </row>
    <row r="18" spans="1:5" x14ac:dyDescent="0.35">
      <c r="A18" s="16" t="s">
        <v>55</v>
      </c>
      <c r="B18" s="15">
        <v>514</v>
      </c>
    </row>
    <row r="20" spans="1:5" x14ac:dyDescent="0.35">
      <c r="A20" s="8" t="s">
        <v>46</v>
      </c>
      <c r="B20" t="s">
        <v>50</v>
      </c>
      <c r="C20" t="s">
        <v>56</v>
      </c>
    </row>
    <row r="21" spans="1:5" x14ac:dyDescent="0.35">
      <c r="A21" s="9" t="s">
        <v>23</v>
      </c>
      <c r="B21" s="17">
        <v>8000</v>
      </c>
      <c r="C21" s="12">
        <v>2</v>
      </c>
    </row>
    <row r="22" spans="1:5" x14ac:dyDescent="0.35">
      <c r="A22" s="9" t="s">
        <v>18</v>
      </c>
      <c r="B22" s="17">
        <v>16800</v>
      </c>
      <c r="C22" s="12">
        <v>2</v>
      </c>
    </row>
    <row r="23" spans="1:5" x14ac:dyDescent="0.35">
      <c r="A23" s="9" t="s">
        <v>12</v>
      </c>
      <c r="B23" s="17">
        <v>17900</v>
      </c>
      <c r="C23" s="12">
        <v>3</v>
      </c>
    </row>
    <row r="24" spans="1:5" x14ac:dyDescent="0.35">
      <c r="A24" s="9" t="s">
        <v>28</v>
      </c>
      <c r="B24" s="17">
        <v>15050</v>
      </c>
      <c r="C24" s="12">
        <v>2</v>
      </c>
    </row>
    <row r="26" spans="1:5" x14ac:dyDescent="0.35">
      <c r="A26" s="8" t="s">
        <v>46</v>
      </c>
      <c r="B26" t="s">
        <v>48</v>
      </c>
      <c r="C26" t="s">
        <v>49</v>
      </c>
      <c r="D26" t="s">
        <v>50</v>
      </c>
      <c r="E26" t="s">
        <v>56</v>
      </c>
    </row>
    <row r="27" spans="1:5" x14ac:dyDescent="0.35">
      <c r="A27" s="9" t="s">
        <v>9</v>
      </c>
      <c r="B27" s="12">
        <v>1</v>
      </c>
      <c r="C27" s="12">
        <v>4500</v>
      </c>
      <c r="D27" s="12">
        <v>4500</v>
      </c>
      <c r="E27" s="12">
        <v>1</v>
      </c>
    </row>
    <row r="28" spans="1:5" x14ac:dyDescent="0.35">
      <c r="A28" s="10" t="s">
        <v>53</v>
      </c>
      <c r="B28" s="12">
        <v>1</v>
      </c>
      <c r="C28" s="12">
        <v>4500</v>
      </c>
      <c r="D28" s="12">
        <v>4500</v>
      </c>
      <c r="E28" s="12">
        <v>1</v>
      </c>
    </row>
    <row r="29" spans="1:5" x14ac:dyDescent="0.35">
      <c r="A29" s="11" t="s">
        <v>10</v>
      </c>
      <c r="B29" s="12">
        <v>1</v>
      </c>
      <c r="C29" s="12">
        <v>4500</v>
      </c>
      <c r="D29" s="12">
        <v>4500</v>
      </c>
      <c r="E29" s="12">
        <v>1</v>
      </c>
    </row>
    <row r="30" spans="1:5" x14ac:dyDescent="0.35">
      <c r="A30" s="18" t="s">
        <v>11</v>
      </c>
      <c r="B30" s="12">
        <v>1</v>
      </c>
      <c r="C30" s="12">
        <v>4500</v>
      </c>
      <c r="D30" s="12">
        <v>4500</v>
      </c>
      <c r="E30" s="12">
        <v>1</v>
      </c>
    </row>
    <row r="31" spans="1:5" x14ac:dyDescent="0.35">
      <c r="A31" s="19" t="s">
        <v>12</v>
      </c>
      <c r="B31" s="12">
        <v>1</v>
      </c>
      <c r="C31" s="12">
        <v>4500</v>
      </c>
      <c r="D31" s="12">
        <v>4500</v>
      </c>
      <c r="E31" s="12">
        <v>1</v>
      </c>
    </row>
    <row r="32" spans="1:5" x14ac:dyDescent="0.35">
      <c r="A32" s="20" t="s">
        <v>13</v>
      </c>
      <c r="B32" s="12">
        <v>1</v>
      </c>
      <c r="C32" s="12">
        <v>4500</v>
      </c>
      <c r="D32" s="12">
        <v>4500</v>
      </c>
      <c r="E32" s="12">
        <v>1</v>
      </c>
    </row>
    <row r="33" spans="1:5" x14ac:dyDescent="0.35">
      <c r="A33" s="21" t="s">
        <v>14</v>
      </c>
      <c r="B33" s="12">
        <v>1</v>
      </c>
      <c r="C33" s="12">
        <v>4500</v>
      </c>
      <c r="D33" s="12">
        <v>4500</v>
      </c>
      <c r="E33" s="12">
        <v>1</v>
      </c>
    </row>
    <row r="34" spans="1:5" x14ac:dyDescent="0.35">
      <c r="A34" s="9" t="s">
        <v>15</v>
      </c>
      <c r="B34" s="12">
        <v>12000</v>
      </c>
      <c r="C34" s="12">
        <v>0.35</v>
      </c>
      <c r="D34" s="12">
        <v>4200</v>
      </c>
      <c r="E34" s="12">
        <v>1</v>
      </c>
    </row>
    <row r="35" spans="1:5" x14ac:dyDescent="0.35">
      <c r="A35" s="10" t="s">
        <v>53</v>
      </c>
      <c r="B35" s="12">
        <v>12000</v>
      </c>
      <c r="C35" s="12">
        <v>0.35</v>
      </c>
      <c r="D35" s="12">
        <v>4200</v>
      </c>
      <c r="E35" s="12">
        <v>1</v>
      </c>
    </row>
    <row r="36" spans="1:5" x14ac:dyDescent="0.35">
      <c r="A36" s="11" t="s">
        <v>16</v>
      </c>
      <c r="B36" s="12">
        <v>12000</v>
      </c>
      <c r="C36" s="12">
        <v>0.35</v>
      </c>
      <c r="D36" s="12">
        <v>4200</v>
      </c>
      <c r="E36" s="12">
        <v>1</v>
      </c>
    </row>
    <row r="37" spans="1:5" x14ac:dyDescent="0.35">
      <c r="A37" s="18" t="s">
        <v>17</v>
      </c>
      <c r="B37" s="12">
        <v>12000</v>
      </c>
      <c r="C37" s="12">
        <v>0.35</v>
      </c>
      <c r="D37" s="12">
        <v>4200</v>
      </c>
      <c r="E37" s="12">
        <v>1</v>
      </c>
    </row>
    <row r="38" spans="1:5" x14ac:dyDescent="0.35">
      <c r="A38" s="19" t="s">
        <v>18</v>
      </c>
      <c r="B38" s="12">
        <v>12000</v>
      </c>
      <c r="C38" s="12">
        <v>0.35</v>
      </c>
      <c r="D38" s="12">
        <v>4200</v>
      </c>
      <c r="E38" s="12">
        <v>1</v>
      </c>
    </row>
    <row r="39" spans="1:5" x14ac:dyDescent="0.35">
      <c r="A39" s="20" t="s">
        <v>19</v>
      </c>
      <c r="B39" s="12">
        <v>12000</v>
      </c>
      <c r="C39" s="12">
        <v>0.35</v>
      </c>
      <c r="D39" s="12">
        <v>4200</v>
      </c>
      <c r="E39" s="12">
        <v>1</v>
      </c>
    </row>
    <row r="40" spans="1:5" x14ac:dyDescent="0.35">
      <c r="A40" s="21" t="s">
        <v>14</v>
      </c>
      <c r="B40" s="12">
        <v>12000</v>
      </c>
      <c r="C40" s="12">
        <v>0.35</v>
      </c>
      <c r="D40" s="12">
        <v>4200</v>
      </c>
      <c r="E40" s="12">
        <v>1</v>
      </c>
    </row>
    <row r="41" spans="1:5" x14ac:dyDescent="0.35">
      <c r="A41" s="9" t="s">
        <v>20</v>
      </c>
      <c r="B41" s="12">
        <v>250</v>
      </c>
      <c r="C41" s="12">
        <v>12</v>
      </c>
      <c r="D41" s="12">
        <v>3000</v>
      </c>
      <c r="E41" s="12">
        <v>1</v>
      </c>
    </row>
    <row r="42" spans="1:5" x14ac:dyDescent="0.35">
      <c r="A42" s="10" t="s">
        <v>53</v>
      </c>
      <c r="B42" s="12">
        <v>250</v>
      </c>
      <c r="C42" s="12">
        <v>12</v>
      </c>
      <c r="D42" s="12">
        <v>3000</v>
      </c>
      <c r="E42" s="12">
        <v>1</v>
      </c>
    </row>
    <row r="43" spans="1:5" x14ac:dyDescent="0.35">
      <c r="A43" s="11" t="s">
        <v>21</v>
      </c>
      <c r="B43" s="12">
        <v>250</v>
      </c>
      <c r="C43" s="12">
        <v>12</v>
      </c>
      <c r="D43" s="12">
        <v>3000</v>
      </c>
      <c r="E43" s="12">
        <v>1</v>
      </c>
    </row>
    <row r="44" spans="1:5" x14ac:dyDescent="0.35">
      <c r="A44" s="18" t="s">
        <v>22</v>
      </c>
      <c r="B44" s="12">
        <v>250</v>
      </c>
      <c r="C44" s="12">
        <v>12</v>
      </c>
      <c r="D44" s="12">
        <v>3000</v>
      </c>
      <c r="E44" s="12">
        <v>1</v>
      </c>
    </row>
    <row r="45" spans="1:5" x14ac:dyDescent="0.35">
      <c r="A45" s="19" t="s">
        <v>23</v>
      </c>
      <c r="B45" s="12">
        <v>250</v>
      </c>
      <c r="C45" s="12">
        <v>12</v>
      </c>
      <c r="D45" s="12">
        <v>3000</v>
      </c>
      <c r="E45" s="12">
        <v>1</v>
      </c>
    </row>
    <row r="46" spans="1:5" x14ac:dyDescent="0.35">
      <c r="A46" s="20" t="s">
        <v>24</v>
      </c>
      <c r="B46" s="12">
        <v>250</v>
      </c>
      <c r="C46" s="12">
        <v>12</v>
      </c>
      <c r="D46" s="12">
        <v>3000</v>
      </c>
      <c r="E46" s="12">
        <v>1</v>
      </c>
    </row>
    <row r="47" spans="1:5" x14ac:dyDescent="0.35">
      <c r="A47" s="21" t="s">
        <v>14</v>
      </c>
      <c r="B47" s="12">
        <v>250</v>
      </c>
      <c r="C47" s="12">
        <v>12</v>
      </c>
      <c r="D47" s="12">
        <v>3000</v>
      </c>
      <c r="E47" s="12">
        <v>1</v>
      </c>
    </row>
    <row r="48" spans="1:5" x14ac:dyDescent="0.35">
      <c r="A48" s="9" t="s">
        <v>25</v>
      </c>
      <c r="B48" s="12">
        <v>5</v>
      </c>
      <c r="C48" s="12">
        <v>850</v>
      </c>
      <c r="D48" s="12">
        <v>4250</v>
      </c>
      <c r="E48" s="12">
        <v>1</v>
      </c>
    </row>
    <row r="49" spans="1:5" x14ac:dyDescent="0.35">
      <c r="A49" s="10" t="s">
        <v>53</v>
      </c>
      <c r="B49" s="12">
        <v>5</v>
      </c>
      <c r="C49" s="12">
        <v>850</v>
      </c>
      <c r="D49" s="12">
        <v>4250</v>
      </c>
      <c r="E49" s="12">
        <v>1</v>
      </c>
    </row>
    <row r="50" spans="1:5" x14ac:dyDescent="0.35">
      <c r="A50" s="11" t="s">
        <v>26</v>
      </c>
      <c r="B50" s="12">
        <v>5</v>
      </c>
      <c r="C50" s="12">
        <v>850</v>
      </c>
      <c r="D50" s="12">
        <v>4250</v>
      </c>
      <c r="E50" s="12">
        <v>1</v>
      </c>
    </row>
    <row r="51" spans="1:5" x14ac:dyDescent="0.35">
      <c r="A51" s="18" t="s">
        <v>27</v>
      </c>
      <c r="B51" s="12">
        <v>5</v>
      </c>
      <c r="C51" s="12">
        <v>850</v>
      </c>
      <c r="D51" s="12">
        <v>4250</v>
      </c>
      <c r="E51" s="12">
        <v>1</v>
      </c>
    </row>
    <row r="52" spans="1:5" x14ac:dyDescent="0.35">
      <c r="A52" s="19" t="s">
        <v>28</v>
      </c>
      <c r="B52" s="12">
        <v>5</v>
      </c>
      <c r="C52" s="12">
        <v>850</v>
      </c>
      <c r="D52" s="12">
        <v>4250</v>
      </c>
      <c r="E52" s="12">
        <v>1</v>
      </c>
    </row>
    <row r="53" spans="1:5" x14ac:dyDescent="0.35">
      <c r="A53" s="20" t="s">
        <v>13</v>
      </c>
      <c r="B53" s="12">
        <v>5</v>
      </c>
      <c r="C53" s="12">
        <v>850</v>
      </c>
      <c r="D53" s="12">
        <v>4250</v>
      </c>
      <c r="E53" s="12">
        <v>1</v>
      </c>
    </row>
    <row r="54" spans="1:5" x14ac:dyDescent="0.35">
      <c r="A54" s="21" t="s">
        <v>14</v>
      </c>
      <c r="B54" s="12">
        <v>5</v>
      </c>
      <c r="C54" s="12">
        <v>850</v>
      </c>
      <c r="D54" s="12">
        <v>4250</v>
      </c>
      <c r="E54" s="12">
        <v>1</v>
      </c>
    </row>
    <row r="55" spans="1:5" x14ac:dyDescent="0.35">
      <c r="A55" s="9" t="s">
        <v>29</v>
      </c>
      <c r="B55" s="12">
        <v>45000</v>
      </c>
      <c r="C55" s="12">
        <v>0.28000000000000003</v>
      </c>
      <c r="D55" s="12">
        <v>12600</v>
      </c>
      <c r="E55" s="12">
        <v>1</v>
      </c>
    </row>
    <row r="56" spans="1:5" x14ac:dyDescent="0.35">
      <c r="A56" s="10" t="s">
        <v>54</v>
      </c>
      <c r="B56" s="12">
        <v>45000</v>
      </c>
      <c r="C56" s="12">
        <v>0.28000000000000003</v>
      </c>
      <c r="D56" s="12">
        <v>12600</v>
      </c>
      <c r="E56" s="12">
        <v>1</v>
      </c>
    </row>
    <row r="57" spans="1:5" x14ac:dyDescent="0.35">
      <c r="A57" s="11" t="s">
        <v>30</v>
      </c>
      <c r="B57" s="12">
        <v>45000</v>
      </c>
      <c r="C57" s="12">
        <v>0.28000000000000003</v>
      </c>
      <c r="D57" s="12">
        <v>12600</v>
      </c>
      <c r="E57" s="12">
        <v>1</v>
      </c>
    </row>
    <row r="58" spans="1:5" x14ac:dyDescent="0.35">
      <c r="A58" s="18" t="s">
        <v>31</v>
      </c>
      <c r="B58" s="12">
        <v>45000</v>
      </c>
      <c r="C58" s="12">
        <v>0.28000000000000003</v>
      </c>
      <c r="D58" s="12">
        <v>12600</v>
      </c>
      <c r="E58" s="12">
        <v>1</v>
      </c>
    </row>
    <row r="59" spans="1:5" x14ac:dyDescent="0.35">
      <c r="A59" s="19" t="s">
        <v>18</v>
      </c>
      <c r="B59" s="12">
        <v>45000</v>
      </c>
      <c r="C59" s="12">
        <v>0.28000000000000003</v>
      </c>
      <c r="D59" s="12">
        <v>12600</v>
      </c>
      <c r="E59" s="12">
        <v>1</v>
      </c>
    </row>
    <row r="60" spans="1:5" x14ac:dyDescent="0.35">
      <c r="A60" s="20" t="s">
        <v>13</v>
      </c>
      <c r="B60" s="12">
        <v>45000</v>
      </c>
      <c r="C60" s="12">
        <v>0.28000000000000003</v>
      </c>
      <c r="D60" s="12">
        <v>12600</v>
      </c>
      <c r="E60" s="12">
        <v>1</v>
      </c>
    </row>
    <row r="61" spans="1:5" x14ac:dyDescent="0.35">
      <c r="A61" s="21" t="s">
        <v>14</v>
      </c>
      <c r="B61" s="12">
        <v>45000</v>
      </c>
      <c r="C61" s="12">
        <v>0.28000000000000003</v>
      </c>
      <c r="D61" s="12">
        <v>12600</v>
      </c>
      <c r="E61" s="12">
        <v>1</v>
      </c>
    </row>
    <row r="62" spans="1:5" x14ac:dyDescent="0.35">
      <c r="A62" s="9" t="s">
        <v>32</v>
      </c>
      <c r="B62" s="12">
        <v>1</v>
      </c>
      <c r="C62" s="12">
        <v>3200</v>
      </c>
      <c r="D62" s="12">
        <v>3200</v>
      </c>
      <c r="E62" s="12">
        <v>1</v>
      </c>
    </row>
    <row r="63" spans="1:5" x14ac:dyDescent="0.35">
      <c r="A63" s="10" t="s">
        <v>54</v>
      </c>
      <c r="B63" s="12">
        <v>1</v>
      </c>
      <c r="C63" s="12">
        <v>3200</v>
      </c>
      <c r="D63" s="12">
        <v>3200</v>
      </c>
      <c r="E63" s="12">
        <v>1</v>
      </c>
    </row>
    <row r="64" spans="1:5" x14ac:dyDescent="0.35">
      <c r="A64" s="11" t="s">
        <v>33</v>
      </c>
      <c r="B64" s="12">
        <v>1</v>
      </c>
      <c r="C64" s="12">
        <v>3200</v>
      </c>
      <c r="D64" s="12">
        <v>3200</v>
      </c>
      <c r="E64" s="12">
        <v>1</v>
      </c>
    </row>
    <row r="65" spans="1:5" x14ac:dyDescent="0.35">
      <c r="A65" s="18" t="s">
        <v>34</v>
      </c>
      <c r="B65" s="12">
        <v>1</v>
      </c>
      <c r="C65" s="12">
        <v>3200</v>
      </c>
      <c r="D65" s="12">
        <v>3200</v>
      </c>
      <c r="E65" s="12">
        <v>1</v>
      </c>
    </row>
    <row r="66" spans="1:5" x14ac:dyDescent="0.35">
      <c r="A66" s="19" t="s">
        <v>12</v>
      </c>
      <c r="B66" s="12">
        <v>1</v>
      </c>
      <c r="C66" s="12">
        <v>3200</v>
      </c>
      <c r="D66" s="12">
        <v>3200</v>
      </c>
      <c r="E66" s="12">
        <v>1</v>
      </c>
    </row>
    <row r="67" spans="1:5" x14ac:dyDescent="0.35">
      <c r="A67" s="20" t="s">
        <v>24</v>
      </c>
      <c r="B67" s="12">
        <v>1</v>
      </c>
      <c r="C67" s="12">
        <v>3200</v>
      </c>
      <c r="D67" s="12">
        <v>3200</v>
      </c>
      <c r="E67" s="12">
        <v>1</v>
      </c>
    </row>
    <row r="68" spans="1:5" x14ac:dyDescent="0.35">
      <c r="A68" s="21" t="s">
        <v>35</v>
      </c>
      <c r="B68" s="12">
        <v>1</v>
      </c>
      <c r="C68" s="12">
        <v>3200</v>
      </c>
      <c r="D68" s="12">
        <v>3200</v>
      </c>
      <c r="E68" s="12">
        <v>1</v>
      </c>
    </row>
    <row r="69" spans="1:5" x14ac:dyDescent="0.35">
      <c r="A69" s="9" t="s">
        <v>36</v>
      </c>
      <c r="B69" s="12">
        <v>500</v>
      </c>
      <c r="C69" s="12">
        <v>10</v>
      </c>
      <c r="D69" s="12">
        <v>5000</v>
      </c>
      <c r="E69" s="12">
        <v>1</v>
      </c>
    </row>
    <row r="70" spans="1:5" x14ac:dyDescent="0.35">
      <c r="A70" s="10" t="s">
        <v>55</v>
      </c>
      <c r="B70" s="12">
        <v>500</v>
      </c>
      <c r="C70" s="12">
        <v>10</v>
      </c>
      <c r="D70" s="12">
        <v>5000</v>
      </c>
      <c r="E70" s="12">
        <v>1</v>
      </c>
    </row>
    <row r="71" spans="1:5" x14ac:dyDescent="0.35">
      <c r="A71" s="11" t="s">
        <v>37</v>
      </c>
      <c r="B71" s="12">
        <v>500</v>
      </c>
      <c r="C71" s="12">
        <v>10</v>
      </c>
      <c r="D71" s="12">
        <v>5000</v>
      </c>
      <c r="E71" s="12">
        <v>1</v>
      </c>
    </row>
    <row r="72" spans="1:5" x14ac:dyDescent="0.35">
      <c r="A72" s="18" t="s">
        <v>17</v>
      </c>
      <c r="B72" s="12">
        <v>500</v>
      </c>
      <c r="C72" s="12">
        <v>10</v>
      </c>
      <c r="D72" s="12">
        <v>5000</v>
      </c>
      <c r="E72" s="12">
        <v>1</v>
      </c>
    </row>
    <row r="73" spans="1:5" x14ac:dyDescent="0.35">
      <c r="A73" s="19" t="s">
        <v>23</v>
      </c>
      <c r="B73" s="12">
        <v>500</v>
      </c>
      <c r="C73" s="12">
        <v>10</v>
      </c>
      <c r="D73" s="12">
        <v>5000</v>
      </c>
      <c r="E73" s="12">
        <v>1</v>
      </c>
    </row>
    <row r="74" spans="1:5" x14ac:dyDescent="0.35">
      <c r="A74" s="20" t="s">
        <v>19</v>
      </c>
      <c r="B74" s="12">
        <v>500</v>
      </c>
      <c r="C74" s="12">
        <v>10</v>
      </c>
      <c r="D74" s="12">
        <v>5000</v>
      </c>
      <c r="E74" s="12">
        <v>1</v>
      </c>
    </row>
    <row r="75" spans="1:5" x14ac:dyDescent="0.35">
      <c r="A75" s="21" t="s">
        <v>14</v>
      </c>
      <c r="B75" s="12">
        <v>500</v>
      </c>
      <c r="C75" s="12">
        <v>10</v>
      </c>
      <c r="D75" s="12">
        <v>5000</v>
      </c>
      <c r="E75" s="12">
        <v>1</v>
      </c>
    </row>
    <row r="76" spans="1:5" x14ac:dyDescent="0.35">
      <c r="A76" s="9" t="s">
        <v>38</v>
      </c>
      <c r="B76" s="12">
        <v>12</v>
      </c>
      <c r="C76" s="12">
        <v>900</v>
      </c>
      <c r="D76" s="12">
        <v>10800</v>
      </c>
      <c r="E76" s="12">
        <v>1</v>
      </c>
    </row>
    <row r="77" spans="1:5" x14ac:dyDescent="0.35">
      <c r="A77" s="10" t="s">
        <v>55</v>
      </c>
      <c r="B77" s="12">
        <v>12</v>
      </c>
      <c r="C77" s="12">
        <v>900</v>
      </c>
      <c r="D77" s="12">
        <v>10800</v>
      </c>
      <c r="E77" s="12">
        <v>1</v>
      </c>
    </row>
    <row r="78" spans="1:5" x14ac:dyDescent="0.35">
      <c r="A78" s="11" t="s">
        <v>10</v>
      </c>
      <c r="B78" s="12">
        <v>12</v>
      </c>
      <c r="C78" s="12">
        <v>900</v>
      </c>
      <c r="D78" s="12">
        <v>10800</v>
      </c>
      <c r="E78" s="12">
        <v>1</v>
      </c>
    </row>
    <row r="79" spans="1:5" x14ac:dyDescent="0.35">
      <c r="A79" s="18" t="s">
        <v>11</v>
      </c>
      <c r="B79" s="12">
        <v>12</v>
      </c>
      <c r="C79" s="12">
        <v>900</v>
      </c>
      <c r="D79" s="12">
        <v>10800</v>
      </c>
      <c r="E79" s="12">
        <v>1</v>
      </c>
    </row>
    <row r="80" spans="1:5" x14ac:dyDescent="0.35">
      <c r="A80" s="19" t="s">
        <v>28</v>
      </c>
      <c r="B80" s="12">
        <v>12</v>
      </c>
      <c r="C80" s="12">
        <v>900</v>
      </c>
      <c r="D80" s="12">
        <v>10800</v>
      </c>
      <c r="E80" s="12">
        <v>1</v>
      </c>
    </row>
    <row r="81" spans="1:5" x14ac:dyDescent="0.35">
      <c r="A81" s="20" t="s">
        <v>13</v>
      </c>
      <c r="B81" s="12">
        <v>12</v>
      </c>
      <c r="C81" s="12">
        <v>900</v>
      </c>
      <c r="D81" s="12">
        <v>10800</v>
      </c>
      <c r="E81" s="12">
        <v>1</v>
      </c>
    </row>
    <row r="82" spans="1:5" x14ac:dyDescent="0.35">
      <c r="A82" s="21" t="s">
        <v>14</v>
      </c>
      <c r="B82" s="12">
        <v>12</v>
      </c>
      <c r="C82" s="12">
        <v>900</v>
      </c>
      <c r="D82" s="12">
        <v>10800</v>
      </c>
      <c r="E82" s="12">
        <v>1</v>
      </c>
    </row>
    <row r="83" spans="1:5" x14ac:dyDescent="0.35">
      <c r="A83" s="9" t="s">
        <v>39</v>
      </c>
      <c r="B83" s="12">
        <v>2</v>
      </c>
      <c r="C83" s="12">
        <v>5100</v>
      </c>
      <c r="D83" s="12">
        <v>10200</v>
      </c>
      <c r="E83" s="12">
        <v>1</v>
      </c>
    </row>
    <row r="84" spans="1:5" x14ac:dyDescent="0.35">
      <c r="A84" s="10" t="s">
        <v>55</v>
      </c>
      <c r="B84" s="12">
        <v>2</v>
      </c>
      <c r="C84" s="12">
        <v>5100</v>
      </c>
      <c r="D84" s="12">
        <v>10200</v>
      </c>
      <c r="E84" s="12">
        <v>1</v>
      </c>
    </row>
    <row r="85" spans="1:5" x14ac:dyDescent="0.35">
      <c r="A85" s="11" t="s">
        <v>40</v>
      </c>
      <c r="B85" s="12">
        <v>2</v>
      </c>
      <c r="C85" s="12">
        <v>5100</v>
      </c>
      <c r="D85" s="12">
        <v>10200</v>
      </c>
      <c r="E85" s="12">
        <v>1</v>
      </c>
    </row>
    <row r="86" spans="1:5" x14ac:dyDescent="0.35">
      <c r="A86" s="18" t="s">
        <v>41</v>
      </c>
      <c r="B86" s="12">
        <v>2</v>
      </c>
      <c r="C86" s="12">
        <v>5100</v>
      </c>
      <c r="D86" s="12">
        <v>10200</v>
      </c>
      <c r="E86" s="12">
        <v>1</v>
      </c>
    </row>
    <row r="87" spans="1:5" x14ac:dyDescent="0.35">
      <c r="A87" s="19" t="s">
        <v>12</v>
      </c>
      <c r="B87" s="12">
        <v>2</v>
      </c>
      <c r="C87" s="12">
        <v>5100</v>
      </c>
      <c r="D87" s="12">
        <v>10200</v>
      </c>
      <c r="E87" s="12">
        <v>1</v>
      </c>
    </row>
    <row r="88" spans="1:5" x14ac:dyDescent="0.35">
      <c r="A88" s="20" t="s">
        <v>19</v>
      </c>
      <c r="B88" s="12">
        <v>2</v>
      </c>
      <c r="C88" s="12">
        <v>5100</v>
      </c>
      <c r="D88" s="12">
        <v>10200</v>
      </c>
      <c r="E88" s="12">
        <v>1</v>
      </c>
    </row>
    <row r="89" spans="1:5" x14ac:dyDescent="0.35">
      <c r="A89" s="21" t="s">
        <v>14</v>
      </c>
      <c r="B89" s="12">
        <v>2</v>
      </c>
      <c r="C89" s="12">
        <v>5100</v>
      </c>
      <c r="D89" s="12">
        <v>10200</v>
      </c>
      <c r="E89" s="12">
        <v>1</v>
      </c>
    </row>
    <row r="90" spans="1:5" x14ac:dyDescent="0.35">
      <c r="A90" s="9" t="s">
        <v>47</v>
      </c>
      <c r="B90" s="12">
        <v>57771</v>
      </c>
      <c r="C90" s="12">
        <v>14572.630000000001</v>
      </c>
      <c r="D90" s="12">
        <v>57750</v>
      </c>
      <c r="E90" s="12">
        <v>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Views>
    <sheetView topLeftCell="D1" workbookViewId="0">
      <selection activeCell="N13" sqref="N13"/>
    </sheetView>
  </sheetViews>
  <sheetFormatPr defaultRowHeight="14.5" x14ac:dyDescent="0.35"/>
  <cols>
    <col min="1" max="1" width="8.90625" bestFit="1" customWidth="1"/>
    <col min="2" max="2" width="6.81640625" style="13" bestFit="1" customWidth="1"/>
    <col min="3" max="3" width="16.6328125" bestFit="1" customWidth="1"/>
    <col min="4" max="4" width="9.7265625" bestFit="1" customWidth="1"/>
    <col min="5" max="5" width="24.26953125" bestFit="1" customWidth="1"/>
    <col min="6" max="6" width="10.26953125" bestFit="1" customWidth="1"/>
    <col min="7" max="7" width="13" bestFit="1" customWidth="1"/>
    <col min="8" max="8" width="11.7265625" bestFit="1" customWidth="1"/>
    <col min="9" max="9" width="11.26953125" bestFit="1" customWidth="1"/>
    <col min="10" max="10" width="17" bestFit="1" customWidth="1"/>
  </cols>
  <sheetData>
    <row r="1" spans="1:11" x14ac:dyDescent="0.35">
      <c r="A1" t="s">
        <v>0</v>
      </c>
      <c r="B1" s="13" t="s">
        <v>52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42</v>
      </c>
    </row>
    <row r="2" spans="1:11" x14ac:dyDescent="0.35">
      <c r="A2" t="s">
        <v>9</v>
      </c>
      <c r="B2" s="14" t="s">
        <v>53</v>
      </c>
      <c r="C2" t="s">
        <v>10</v>
      </c>
      <c r="D2" t="s">
        <v>11</v>
      </c>
      <c r="E2" t="s">
        <v>12</v>
      </c>
      <c r="F2" s="14">
        <v>1</v>
      </c>
      <c r="G2">
        <v>4500</v>
      </c>
      <c r="H2" t="s">
        <v>13</v>
      </c>
      <c r="I2" t="s">
        <v>14</v>
      </c>
      <c r="J2">
        <v>4500</v>
      </c>
      <c r="K2">
        <v>1</v>
      </c>
    </row>
    <row r="3" spans="1:11" x14ac:dyDescent="0.35">
      <c r="A3" t="s">
        <v>15</v>
      </c>
      <c r="B3" s="14" t="s">
        <v>53</v>
      </c>
      <c r="C3" t="s">
        <v>16</v>
      </c>
      <c r="D3" t="s">
        <v>17</v>
      </c>
      <c r="E3" t="s">
        <v>18</v>
      </c>
      <c r="F3" s="14">
        <v>12000</v>
      </c>
      <c r="G3">
        <v>0.35</v>
      </c>
      <c r="H3" t="s">
        <v>19</v>
      </c>
      <c r="I3" t="s">
        <v>14</v>
      </c>
      <c r="J3">
        <v>4200</v>
      </c>
      <c r="K3">
        <v>1</v>
      </c>
    </row>
    <row r="4" spans="1:11" x14ac:dyDescent="0.35">
      <c r="A4" t="s">
        <v>20</v>
      </c>
      <c r="B4" s="14" t="s">
        <v>53</v>
      </c>
      <c r="C4" t="s">
        <v>21</v>
      </c>
      <c r="D4" t="s">
        <v>22</v>
      </c>
      <c r="E4" t="s">
        <v>23</v>
      </c>
      <c r="F4" s="14">
        <v>250</v>
      </c>
      <c r="G4">
        <v>12</v>
      </c>
      <c r="H4" t="s">
        <v>24</v>
      </c>
      <c r="I4" t="s">
        <v>14</v>
      </c>
      <c r="J4">
        <v>3000</v>
      </c>
      <c r="K4">
        <v>1</v>
      </c>
    </row>
    <row r="5" spans="1:11" x14ac:dyDescent="0.35">
      <c r="A5" t="s">
        <v>25</v>
      </c>
      <c r="B5" s="14" t="s">
        <v>53</v>
      </c>
      <c r="C5" t="s">
        <v>26</v>
      </c>
      <c r="D5" t="s">
        <v>27</v>
      </c>
      <c r="E5" t="s">
        <v>28</v>
      </c>
      <c r="F5" s="14">
        <v>5</v>
      </c>
      <c r="G5">
        <v>850</v>
      </c>
      <c r="H5" t="s">
        <v>13</v>
      </c>
      <c r="I5" t="s">
        <v>14</v>
      </c>
      <c r="J5">
        <v>4250</v>
      </c>
      <c r="K5">
        <v>1</v>
      </c>
    </row>
    <row r="6" spans="1:11" x14ac:dyDescent="0.35">
      <c r="A6" t="s">
        <v>29</v>
      </c>
      <c r="B6" s="14" t="s">
        <v>54</v>
      </c>
      <c r="C6" t="s">
        <v>30</v>
      </c>
      <c r="D6" t="s">
        <v>31</v>
      </c>
      <c r="E6" t="s">
        <v>18</v>
      </c>
      <c r="F6" s="14">
        <v>45000</v>
      </c>
      <c r="G6">
        <v>0.28000000000000003</v>
      </c>
      <c r="H6" t="s">
        <v>13</v>
      </c>
      <c r="I6" t="s">
        <v>14</v>
      </c>
      <c r="J6">
        <v>12600</v>
      </c>
      <c r="K6">
        <v>1</v>
      </c>
    </row>
    <row r="7" spans="1:11" x14ac:dyDescent="0.35">
      <c r="A7" t="s">
        <v>32</v>
      </c>
      <c r="B7" s="14" t="s">
        <v>54</v>
      </c>
      <c r="C7" t="s">
        <v>33</v>
      </c>
      <c r="D7" t="s">
        <v>34</v>
      </c>
      <c r="E7" t="s">
        <v>12</v>
      </c>
      <c r="F7" s="14">
        <v>1</v>
      </c>
      <c r="G7">
        <v>3200</v>
      </c>
      <c r="H7" t="s">
        <v>24</v>
      </c>
      <c r="I7" t="s">
        <v>35</v>
      </c>
      <c r="J7">
        <v>3200</v>
      </c>
      <c r="K7">
        <v>1</v>
      </c>
    </row>
    <row r="8" spans="1:11" x14ac:dyDescent="0.35">
      <c r="A8" t="s">
        <v>36</v>
      </c>
      <c r="B8" s="14" t="s">
        <v>55</v>
      </c>
      <c r="C8" t="s">
        <v>37</v>
      </c>
      <c r="D8" t="s">
        <v>17</v>
      </c>
      <c r="E8" t="s">
        <v>23</v>
      </c>
      <c r="F8" s="14">
        <v>500</v>
      </c>
      <c r="G8">
        <v>10</v>
      </c>
      <c r="H8" t="s">
        <v>19</v>
      </c>
      <c r="I8" t="s">
        <v>14</v>
      </c>
      <c r="J8">
        <v>5000</v>
      </c>
      <c r="K8">
        <v>1</v>
      </c>
    </row>
    <row r="9" spans="1:11" x14ac:dyDescent="0.35">
      <c r="A9" t="s">
        <v>38</v>
      </c>
      <c r="B9" s="14" t="s">
        <v>55</v>
      </c>
      <c r="C9" t="s">
        <v>10</v>
      </c>
      <c r="D9" t="s">
        <v>11</v>
      </c>
      <c r="E9" t="s">
        <v>28</v>
      </c>
      <c r="F9" s="14">
        <v>12</v>
      </c>
      <c r="G9">
        <v>900</v>
      </c>
      <c r="H9" t="s">
        <v>13</v>
      </c>
      <c r="I9" t="s">
        <v>14</v>
      </c>
      <c r="J9">
        <v>10800</v>
      </c>
      <c r="K9">
        <v>1</v>
      </c>
    </row>
    <row r="10" spans="1:11" x14ac:dyDescent="0.35">
      <c r="A10" t="s">
        <v>39</v>
      </c>
      <c r="B10" s="14" t="s">
        <v>55</v>
      </c>
      <c r="C10" t="s">
        <v>40</v>
      </c>
      <c r="D10" t="s">
        <v>41</v>
      </c>
      <c r="E10" t="s">
        <v>12</v>
      </c>
      <c r="F10" s="14">
        <v>2</v>
      </c>
      <c r="G10">
        <v>5100</v>
      </c>
      <c r="H10" t="s">
        <v>19</v>
      </c>
      <c r="I10" t="s">
        <v>14</v>
      </c>
      <c r="J10">
        <v>10200</v>
      </c>
      <c r="K10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"/>
  <sheetViews>
    <sheetView showGridLines="0" tabSelected="1" workbookViewId="0">
      <selection activeCell="J9" sqref="J9"/>
    </sheetView>
  </sheetViews>
  <sheetFormatPr defaultRowHeight="14.5" x14ac:dyDescent="0.35"/>
  <cols>
    <col min="1" max="1" width="22" customWidth="1"/>
    <col min="2" max="2" width="20.7265625" bestFit="1" customWidth="1"/>
    <col min="3" max="3" width="20.54296875" bestFit="1" customWidth="1"/>
    <col min="4" max="4" width="19.81640625" bestFit="1" customWidth="1"/>
  </cols>
  <sheetData>
    <row r="1" spans="1:7" ht="24" customHeight="1" x14ac:dyDescent="0.35">
      <c r="A1" s="22" t="s">
        <v>57</v>
      </c>
      <c r="B1" s="22"/>
      <c r="C1" s="22"/>
      <c r="D1" s="22"/>
      <c r="E1" s="22"/>
      <c r="F1" s="22"/>
      <c r="G1" s="22"/>
    </row>
    <row r="2" spans="1:7" ht="11" customHeight="1" thickBot="1" x14ac:dyDescent="0.4"/>
    <row r="3" spans="1:7" x14ac:dyDescent="0.35">
      <c r="B3" s="3" t="s">
        <v>43</v>
      </c>
      <c r="C3" s="4" t="s">
        <v>44</v>
      </c>
      <c r="D3" s="6" t="s">
        <v>45</v>
      </c>
    </row>
    <row r="4" spans="1:7" ht="26.5" thickBot="1" x14ac:dyDescent="0.65">
      <c r="B4" s="2">
        <f>GETPIVOTDATA("Soma de Faturamento_Total",tabelasGráficos!$A$1)</f>
        <v>57750</v>
      </c>
      <c r="C4" s="1">
        <f>SUM(tabelasGráficos!C21:C24)</f>
        <v>9</v>
      </c>
      <c r="D4" s="7">
        <f>B4/C4</f>
        <v>6416.666666666667</v>
      </c>
    </row>
    <row r="10" spans="1:7" x14ac:dyDescent="0.35">
      <c r="C10" s="5"/>
    </row>
    <row r="11" spans="1:7" x14ac:dyDescent="0.35">
      <c r="D11" s="5"/>
    </row>
  </sheetData>
  <mergeCells count="1">
    <mergeCell ref="A1:G1"/>
  </mergeCells>
  <pageMargins left="0.511811024" right="0.511811024" top="0.78740157499999996" bottom="0.78740157499999996" header="0.31496062000000002" footer="0.31496062000000002"/>
  <pageSetup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tabelasGráficos</vt:lpstr>
      <vt:lpstr>Base</vt:lpstr>
      <vt:lpstr>Dashboard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Dantas de Oliveira Pelizer</cp:lastModifiedBy>
  <dcterms:created xsi:type="dcterms:W3CDTF">2026-05-24T23:38:53Z</dcterms:created>
  <dcterms:modified xsi:type="dcterms:W3CDTF">2026-05-25T00:32:54Z</dcterms:modified>
</cp:coreProperties>
</file>